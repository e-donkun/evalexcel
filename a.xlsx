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24_情報Ⅰ\24_Excel関数\"/>
    </mc:Choice>
  </mc:AlternateContent>
  <xr:revisionPtr revIDLastSave="0" documentId="13_ncr:1_{BB14F752-2027-4A40-98E3-D8F2D9BBF245}" xr6:coauthVersionLast="47" xr6:coauthVersionMax="47" xr10:uidLastSave="{00000000-0000-0000-0000-000000000000}"/>
  <bookViews>
    <workbookView xWindow="-120" yWindow="-120" windowWidth="29040" windowHeight="15720" activeTab="1" xr2:uid="{3F08FACB-95DA-434D-B369-4C43D70EBFD2}"/>
  </bookViews>
  <sheets>
    <sheet name="試食会" sheetId="1" r:id="rId1"/>
    <sheet name="希望調査" sheetId="3" r:id="rId2"/>
    <sheet name="打率表" sheetId="2" r:id="rId3"/>
    <sheet name="過去問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F7" i="4"/>
  <c r="F4" i="4"/>
  <c r="F5" i="4"/>
  <c r="F3" i="4"/>
  <c r="E4" i="4"/>
  <c r="E5" i="4"/>
  <c r="E3" i="4"/>
  <c r="E22" i="2"/>
  <c r="F22" i="2"/>
  <c r="G22" i="2"/>
  <c r="E23" i="2"/>
  <c r="F23" i="2"/>
  <c r="G23" i="2"/>
  <c r="E24" i="2"/>
  <c r="F24" i="2"/>
  <c r="G24" i="2"/>
  <c r="D24" i="2"/>
  <c r="D23" i="2"/>
  <c r="D22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I4" i="2"/>
  <c r="H4" i="2"/>
  <c r="H5" i="3" l="1"/>
  <c r="H6" i="3"/>
  <c r="H7" i="3"/>
  <c r="H8" i="3"/>
  <c r="H4" i="3"/>
  <c r="G12" i="3"/>
  <c r="G11" i="3"/>
  <c r="G10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4" i="3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I13" i="1" l="1"/>
  <c r="I12" i="1"/>
  <c r="I11" i="1"/>
  <c r="I10" i="1"/>
  <c r="I9" i="1"/>
  <c r="I8" i="1"/>
  <c r="I7" i="1"/>
  <c r="I6" i="1"/>
  <c r="I5" i="1"/>
  <c r="I4" i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<sst xmlns="http://schemas.openxmlformats.org/spreadsheetml/2006/main" count="167" uniqueCount="132">
  <si>
    <t>模擬店試食会アンケート集計結果</t>
  </si>
  <si>
    <t>番号</t>
  </si>
  <si>
    <t>品名</t>
  </si>
  <si>
    <t>味</t>
  </si>
  <si>
    <t>量</t>
  </si>
  <si>
    <t>盛り付け</t>
  </si>
  <si>
    <t>原価価格</t>
  </si>
  <si>
    <t>調理時間</t>
  </si>
  <si>
    <t>合計</t>
  </si>
  <si>
    <t>順位</t>
  </si>
  <si>
    <t>焼きそば</t>
  </si>
  <si>
    <t>たこ焼き</t>
  </si>
  <si>
    <t>ホットドッグ</t>
  </si>
  <si>
    <t>カレーライス</t>
  </si>
  <si>
    <t>じゃがバター</t>
  </si>
  <si>
    <t>豚汁</t>
  </si>
  <si>
    <t>パンケーキ</t>
  </si>
  <si>
    <t>マカロン</t>
  </si>
  <si>
    <t>ポップコーン</t>
  </si>
  <si>
    <t>おしるこ</t>
  </si>
  <si>
    <t>最低</t>
    <rPh sb="0" eb="2">
      <t>サイテイ</t>
    </rPh>
    <phoneticPr fontId="1"/>
  </si>
  <si>
    <t>最高</t>
    <rPh sb="0" eb="2">
      <t>サイコウ</t>
    </rPh>
    <phoneticPr fontId="1"/>
  </si>
  <si>
    <t>平均</t>
    <rPh sb="0" eb="2">
      <t>ヘイキン</t>
    </rPh>
    <phoneticPr fontId="1"/>
  </si>
  <si>
    <t>桜井　修史</t>
    <rPh sb="0" eb="2">
      <t>サクライ</t>
    </rPh>
    <rPh sb="3" eb="5">
      <t>シュウジ</t>
    </rPh>
    <phoneticPr fontId="1"/>
  </si>
  <si>
    <t>内藤　義彦</t>
    <rPh sb="0" eb="2">
      <t>ナイトウ</t>
    </rPh>
    <rPh sb="3" eb="5">
      <t>ヨシヒコ</t>
    </rPh>
    <phoneticPr fontId="1"/>
  </si>
  <si>
    <t>望月　大輔</t>
    <rPh sb="0" eb="2">
      <t>モチヅキ</t>
    </rPh>
    <rPh sb="3" eb="5">
      <t>ダイスケ</t>
    </rPh>
    <phoneticPr fontId="1"/>
  </si>
  <si>
    <t>後藤　雅明</t>
    <rPh sb="0" eb="2">
      <t>ゴトウ</t>
    </rPh>
    <rPh sb="3" eb="5">
      <t>マサアキ</t>
    </rPh>
    <phoneticPr fontId="1"/>
  </si>
  <si>
    <t>大橋　健太</t>
    <rPh sb="0" eb="2">
      <t>オオハシ</t>
    </rPh>
    <rPh sb="3" eb="5">
      <t>ケンタ</t>
    </rPh>
    <phoneticPr fontId="1"/>
  </si>
  <si>
    <t>坂本　明雄</t>
    <rPh sb="0" eb="2">
      <t>サカモト</t>
    </rPh>
    <rPh sb="3" eb="5">
      <t>アキオ</t>
    </rPh>
    <phoneticPr fontId="1"/>
  </si>
  <si>
    <t>宮田　貴志</t>
    <rPh sb="0" eb="2">
      <t>ミヤタ</t>
    </rPh>
    <rPh sb="3" eb="5">
      <t>タカシ</t>
    </rPh>
    <phoneticPr fontId="1"/>
  </si>
  <si>
    <t>千葉　浩哉　</t>
    <rPh sb="0" eb="2">
      <t>チバ</t>
    </rPh>
    <rPh sb="3" eb="5">
      <t>ヒロヤ</t>
    </rPh>
    <phoneticPr fontId="1"/>
  </si>
  <si>
    <t>村田　和生</t>
    <rPh sb="0" eb="2">
      <t>ムラタ</t>
    </rPh>
    <rPh sb="3" eb="5">
      <t>カズオ</t>
    </rPh>
    <phoneticPr fontId="1"/>
  </si>
  <si>
    <t>松坂　浩二</t>
    <rPh sb="0" eb="2">
      <t>マツザカ</t>
    </rPh>
    <rPh sb="3" eb="5">
      <t>コウジ</t>
    </rPh>
    <phoneticPr fontId="1"/>
  </si>
  <si>
    <t>岡田　真</t>
    <rPh sb="0" eb="2">
      <t>オカダ</t>
    </rPh>
    <rPh sb="3" eb="4">
      <t>マコト</t>
    </rPh>
    <phoneticPr fontId="1"/>
  </si>
  <si>
    <t>上島　雄介</t>
    <rPh sb="0" eb="2">
      <t>ウエシマ</t>
    </rPh>
    <rPh sb="3" eb="5">
      <t>ユウスケ</t>
    </rPh>
    <phoneticPr fontId="1"/>
  </si>
  <si>
    <t>田村　洋一</t>
    <rPh sb="0" eb="2">
      <t>タムラ</t>
    </rPh>
    <rPh sb="3" eb="5">
      <t>ヨウイチ</t>
    </rPh>
    <phoneticPr fontId="1"/>
  </si>
  <si>
    <t>橋本　彰浩</t>
    <rPh sb="0" eb="2">
      <t>ハシモト</t>
    </rPh>
    <rPh sb="3" eb="5">
      <t>アキヒロ</t>
    </rPh>
    <phoneticPr fontId="1"/>
  </si>
  <si>
    <t>武田　宏大</t>
    <rPh sb="0" eb="2">
      <t>タケダ</t>
    </rPh>
    <rPh sb="3" eb="5">
      <t>コウダイ</t>
    </rPh>
    <phoneticPr fontId="1"/>
  </si>
  <si>
    <t>山田　三郎</t>
    <rPh sb="0" eb="2">
      <t>ヤマダ</t>
    </rPh>
    <rPh sb="3" eb="5">
      <t>サブロウ</t>
    </rPh>
    <phoneticPr fontId="1"/>
  </si>
  <si>
    <t>永瀬　匠</t>
    <rPh sb="0" eb="2">
      <t>ナガセ</t>
    </rPh>
    <rPh sb="3" eb="4">
      <t>タクミ</t>
    </rPh>
    <phoneticPr fontId="1"/>
  </si>
  <si>
    <t>飯塚　晃己</t>
    <rPh sb="0" eb="2">
      <t>イイヅカ</t>
    </rPh>
    <rPh sb="3" eb="5">
      <t>コウミ</t>
    </rPh>
    <phoneticPr fontId="1"/>
  </si>
  <si>
    <t>順位</t>
    <rPh sb="0" eb="2">
      <t>ジュンイ</t>
    </rPh>
    <phoneticPr fontId="1"/>
  </si>
  <si>
    <t>動向</t>
    <rPh sb="0" eb="2">
      <t>ドウコウ</t>
    </rPh>
    <phoneticPr fontId="1"/>
  </si>
  <si>
    <t>打率</t>
    <rPh sb="0" eb="2">
      <t>ダリツ</t>
    </rPh>
    <phoneticPr fontId="1"/>
  </si>
  <si>
    <t>安打数</t>
    <rPh sb="0" eb="2">
      <t>アンダ</t>
    </rPh>
    <rPh sb="2" eb="3">
      <t>スウ</t>
    </rPh>
    <phoneticPr fontId="1"/>
  </si>
  <si>
    <t>打席数</t>
    <rPh sb="0" eb="2">
      <t>ダセキ</t>
    </rPh>
    <rPh sb="2" eb="3">
      <t>スウ</t>
    </rPh>
    <phoneticPr fontId="1"/>
  </si>
  <si>
    <t>先月打率</t>
    <rPh sb="0" eb="2">
      <t>センゲツ</t>
    </rPh>
    <rPh sb="2" eb="4">
      <t>ダリツ</t>
    </rPh>
    <phoneticPr fontId="1"/>
  </si>
  <si>
    <t>学年</t>
    <rPh sb="0" eb="2">
      <t>ガクネン</t>
    </rPh>
    <phoneticPr fontId="1"/>
  </si>
  <si>
    <t>氏名</t>
    <rPh sb="0" eb="2">
      <t>シメイ</t>
    </rPh>
    <phoneticPr fontId="1"/>
  </si>
  <si>
    <t>番号</t>
    <rPh sb="0" eb="2">
      <t>バンゴウ</t>
    </rPh>
    <phoneticPr fontId="1"/>
  </si>
  <si>
    <t>硬式野球部　打率表</t>
  </si>
  <si>
    <t>※原価価格は販売価格に対して利益が多いものほど得点が高い。</t>
    <rPh sb="1" eb="3">
      <t>ゲンカ</t>
    </rPh>
    <rPh sb="3" eb="5">
      <t>カカク</t>
    </rPh>
    <rPh sb="6" eb="8">
      <t>ハンバイ</t>
    </rPh>
    <rPh sb="8" eb="10">
      <t>カカク</t>
    </rPh>
    <rPh sb="11" eb="12">
      <t>タイ</t>
    </rPh>
    <rPh sb="14" eb="16">
      <t>リエキ</t>
    </rPh>
    <rPh sb="17" eb="18">
      <t>オオ</t>
    </rPh>
    <rPh sb="23" eb="25">
      <t>トクテン</t>
    </rPh>
    <rPh sb="26" eb="27">
      <t>タカ</t>
    </rPh>
    <phoneticPr fontId="3"/>
  </si>
  <si>
    <t>※調理時間は当日時間がかからないものほど得点が高い。</t>
    <rPh sb="1" eb="3">
      <t>チョウリ</t>
    </rPh>
    <rPh sb="3" eb="5">
      <t>ジカン</t>
    </rPh>
    <rPh sb="6" eb="8">
      <t>トウジツ</t>
    </rPh>
    <rPh sb="8" eb="10">
      <t>ジカン</t>
    </rPh>
    <rPh sb="20" eb="22">
      <t>トクテン</t>
    </rPh>
    <rPh sb="23" eb="24">
      <t>タカ</t>
    </rPh>
    <phoneticPr fontId="3"/>
  </si>
  <si>
    <t>文化祭クラス企画希望調査</t>
    <rPh sb="0" eb="3">
      <t>ブンカサイ</t>
    </rPh>
    <rPh sb="6" eb="8">
      <t>キカク</t>
    </rPh>
    <rPh sb="8" eb="10">
      <t>キボウ</t>
    </rPh>
    <rPh sb="10" eb="12">
      <t>チョウサ</t>
    </rPh>
    <phoneticPr fontId="3"/>
  </si>
  <si>
    <t>性別</t>
    <rPh sb="0" eb="2">
      <t>セイベツ</t>
    </rPh>
    <phoneticPr fontId="1"/>
  </si>
  <si>
    <t>コード</t>
  </si>
  <si>
    <t>企画</t>
    <rPh sb="0" eb="2">
      <t>キカク</t>
    </rPh>
    <phoneticPr fontId="1"/>
  </si>
  <si>
    <t>コード</t>
    <phoneticPr fontId="3"/>
  </si>
  <si>
    <t>企画</t>
    <rPh sb="0" eb="2">
      <t>キカク</t>
    </rPh>
    <phoneticPr fontId="3"/>
  </si>
  <si>
    <t>集計</t>
    <rPh sb="0" eb="2">
      <t>シュウケイ</t>
    </rPh>
    <phoneticPr fontId="3"/>
  </si>
  <si>
    <t>青山　貴史</t>
    <rPh sb="0" eb="2">
      <t>アオヤマ</t>
    </rPh>
    <rPh sb="3" eb="5">
      <t>タカシ</t>
    </rPh>
    <phoneticPr fontId="6"/>
  </si>
  <si>
    <t>男</t>
    <rPh sb="0" eb="1">
      <t>オトコ</t>
    </rPh>
    <phoneticPr fontId="1"/>
  </si>
  <si>
    <t>演劇</t>
    <rPh sb="0" eb="2">
      <t>エンゲキ</t>
    </rPh>
    <phoneticPr fontId="3"/>
  </si>
  <si>
    <t>井上　健一</t>
    <rPh sb="0" eb="2">
      <t>イノウエ</t>
    </rPh>
    <rPh sb="3" eb="5">
      <t>ケンイチ</t>
    </rPh>
    <phoneticPr fontId="6"/>
  </si>
  <si>
    <t>ダンス</t>
    <phoneticPr fontId="3"/>
  </si>
  <si>
    <t>内田　博樹</t>
    <rPh sb="0" eb="2">
      <t>ウチダ</t>
    </rPh>
    <rPh sb="3" eb="5">
      <t>ヒロキ</t>
    </rPh>
    <phoneticPr fontId="6"/>
  </si>
  <si>
    <t>模擬店</t>
    <rPh sb="0" eb="3">
      <t>モギテン</t>
    </rPh>
    <phoneticPr fontId="3"/>
  </si>
  <si>
    <t>榎本　俊介</t>
    <rPh sb="0" eb="2">
      <t>エノモト</t>
    </rPh>
    <rPh sb="3" eb="5">
      <t>シュンスケ</t>
    </rPh>
    <phoneticPr fontId="6"/>
  </si>
  <si>
    <t>お化け屋敷</t>
    <rPh sb="1" eb="2">
      <t>バ</t>
    </rPh>
    <rPh sb="3" eb="5">
      <t>ヤシキ</t>
    </rPh>
    <phoneticPr fontId="3"/>
  </si>
  <si>
    <t>岡田　準一</t>
    <rPh sb="0" eb="2">
      <t>オカダ</t>
    </rPh>
    <rPh sb="3" eb="5">
      <t>ジュンイチ</t>
    </rPh>
    <phoneticPr fontId="6"/>
  </si>
  <si>
    <t>迷路</t>
    <rPh sb="0" eb="2">
      <t>メイロ</t>
    </rPh>
    <phoneticPr fontId="3"/>
  </si>
  <si>
    <t>川上　雅之</t>
    <rPh sb="0" eb="2">
      <t>カワカミ</t>
    </rPh>
    <rPh sb="3" eb="5">
      <t>マサユキ</t>
    </rPh>
    <phoneticPr fontId="6"/>
  </si>
  <si>
    <t>木村　剛</t>
    <rPh sb="0" eb="2">
      <t>キムラ</t>
    </rPh>
    <rPh sb="3" eb="4">
      <t>ツヨシ</t>
    </rPh>
    <phoneticPr fontId="6"/>
  </si>
  <si>
    <t>総数</t>
    <rPh sb="0" eb="2">
      <t>ソウスウ</t>
    </rPh>
    <phoneticPr fontId="3"/>
  </si>
  <si>
    <t>熊田　義彦</t>
    <rPh sb="0" eb="2">
      <t>クマダ</t>
    </rPh>
    <rPh sb="3" eb="5">
      <t>ヨシヒコ</t>
    </rPh>
    <phoneticPr fontId="1"/>
  </si>
  <si>
    <t>男</t>
    <rPh sb="0" eb="1">
      <t>オトコ</t>
    </rPh>
    <phoneticPr fontId="3"/>
  </si>
  <si>
    <t>小杉　俊哉</t>
    <rPh sb="0" eb="2">
      <t>コスギ</t>
    </rPh>
    <rPh sb="3" eb="5">
      <t>トシヤ</t>
    </rPh>
    <phoneticPr fontId="1"/>
  </si>
  <si>
    <t>女</t>
    <rPh sb="0" eb="1">
      <t>オンナ</t>
    </rPh>
    <phoneticPr fontId="3"/>
  </si>
  <si>
    <t>佐野　渉</t>
    <rPh sb="0" eb="2">
      <t>サノ</t>
    </rPh>
    <rPh sb="3" eb="4">
      <t>ワタル</t>
    </rPh>
    <phoneticPr fontId="1"/>
  </si>
  <si>
    <t>島田　大輔</t>
    <rPh sb="0" eb="2">
      <t>シマダ</t>
    </rPh>
    <rPh sb="3" eb="5">
      <t>ダイスケ</t>
    </rPh>
    <phoneticPr fontId="1"/>
  </si>
  <si>
    <t>鈴木　裕太</t>
    <rPh sb="0" eb="2">
      <t>スズキ</t>
    </rPh>
    <rPh sb="3" eb="5">
      <t>ユウタ</t>
    </rPh>
    <phoneticPr fontId="1"/>
  </si>
  <si>
    <t>世良　宏光</t>
    <rPh sb="0" eb="2">
      <t>セラ</t>
    </rPh>
    <rPh sb="3" eb="5">
      <t>ヒロミツ</t>
    </rPh>
    <phoneticPr fontId="1"/>
  </si>
  <si>
    <t>曽我　翔太</t>
    <rPh sb="0" eb="2">
      <t>ソガ</t>
    </rPh>
    <rPh sb="3" eb="5">
      <t>ショウタ</t>
    </rPh>
    <phoneticPr fontId="1"/>
  </si>
  <si>
    <t>武田　晃大</t>
    <rPh sb="0" eb="2">
      <t>タケダ</t>
    </rPh>
    <rPh sb="3" eb="5">
      <t>コウタ</t>
    </rPh>
    <phoneticPr fontId="1"/>
  </si>
  <si>
    <t>千賀　遼一</t>
    <rPh sb="0" eb="2">
      <t>チガ</t>
    </rPh>
    <rPh sb="3" eb="5">
      <t>リョウイチ</t>
    </rPh>
    <phoneticPr fontId="1"/>
  </si>
  <si>
    <t>津森　晃一</t>
    <rPh sb="0" eb="2">
      <t>ツモリ</t>
    </rPh>
    <rPh sb="3" eb="5">
      <t>コウイチ</t>
    </rPh>
    <phoneticPr fontId="1"/>
  </si>
  <si>
    <t>手塚　昌利</t>
    <rPh sb="0" eb="2">
      <t>テヅカ</t>
    </rPh>
    <rPh sb="3" eb="5">
      <t>マサトシ</t>
    </rPh>
    <phoneticPr fontId="1"/>
  </si>
  <si>
    <t>浅田　真衣</t>
    <rPh sb="0" eb="2">
      <t>アサダ</t>
    </rPh>
    <rPh sb="3" eb="5">
      <t>マイ</t>
    </rPh>
    <phoneticPr fontId="1"/>
  </si>
  <si>
    <t>女</t>
    <rPh sb="0" eb="1">
      <t>オンナ</t>
    </rPh>
    <phoneticPr fontId="1"/>
  </si>
  <si>
    <t>伊藤　友里</t>
    <rPh sb="0" eb="2">
      <t>イトウ</t>
    </rPh>
    <rPh sb="3" eb="5">
      <t>ユリ</t>
    </rPh>
    <phoneticPr fontId="1"/>
  </si>
  <si>
    <t>上田　梨乃</t>
    <rPh sb="0" eb="2">
      <t>ウエダ</t>
    </rPh>
    <rPh sb="3" eb="5">
      <t>リノ</t>
    </rPh>
    <phoneticPr fontId="1"/>
  </si>
  <si>
    <t>遠藤　愛</t>
    <rPh sb="0" eb="2">
      <t>エンドウ</t>
    </rPh>
    <rPh sb="3" eb="4">
      <t>アイ</t>
    </rPh>
    <phoneticPr fontId="1"/>
  </si>
  <si>
    <t>大久保　絵梨</t>
    <rPh sb="0" eb="3">
      <t>オオクボ</t>
    </rPh>
    <rPh sb="4" eb="6">
      <t>エリ</t>
    </rPh>
    <phoneticPr fontId="1"/>
  </si>
  <si>
    <t>加藤　裕子</t>
    <rPh sb="0" eb="2">
      <t>カトウ</t>
    </rPh>
    <rPh sb="3" eb="5">
      <t>ユウコ</t>
    </rPh>
    <phoneticPr fontId="1"/>
  </si>
  <si>
    <t>菊地　葉子</t>
    <rPh sb="0" eb="2">
      <t>キクチ</t>
    </rPh>
    <rPh sb="3" eb="5">
      <t>ヨウコ</t>
    </rPh>
    <phoneticPr fontId="1"/>
  </si>
  <si>
    <t>小池　聡子</t>
    <rPh sb="0" eb="2">
      <t>コイケ</t>
    </rPh>
    <rPh sb="3" eb="5">
      <t>サトコ</t>
    </rPh>
    <phoneticPr fontId="1"/>
  </si>
  <si>
    <t>斉藤　菜摘</t>
    <rPh sb="0" eb="2">
      <t>サイトウ</t>
    </rPh>
    <rPh sb="3" eb="5">
      <t>ナツミ</t>
    </rPh>
    <phoneticPr fontId="1"/>
  </si>
  <si>
    <t>須田　敦子</t>
    <rPh sb="0" eb="2">
      <t>スダ</t>
    </rPh>
    <rPh sb="3" eb="5">
      <t>アツコ</t>
    </rPh>
    <phoneticPr fontId="1"/>
  </si>
  <si>
    <t>戸田　麻里子</t>
    <rPh sb="0" eb="2">
      <t>トダ</t>
    </rPh>
    <rPh sb="3" eb="6">
      <t>マリコ</t>
    </rPh>
    <phoneticPr fontId="1"/>
  </si>
  <si>
    <t>中島　ひかる</t>
    <rPh sb="0" eb="2">
      <t>ナカジマ</t>
    </rPh>
    <phoneticPr fontId="1"/>
  </si>
  <si>
    <t>野田　寛子</t>
    <rPh sb="0" eb="2">
      <t>ノダ</t>
    </rPh>
    <rPh sb="3" eb="5">
      <t>ヒロコ</t>
    </rPh>
    <phoneticPr fontId="1"/>
  </si>
  <si>
    <t>早川　スミレ</t>
    <rPh sb="0" eb="2">
      <t>ハヤカワ</t>
    </rPh>
    <phoneticPr fontId="1"/>
  </si>
  <si>
    <t>前田　優子</t>
    <rPh sb="0" eb="2">
      <t>マエダ</t>
    </rPh>
    <rPh sb="3" eb="5">
      <t>ユウコ</t>
    </rPh>
    <phoneticPr fontId="1"/>
  </si>
  <si>
    <t>毛利　蘭子</t>
    <rPh sb="0" eb="2">
      <t>モウリ</t>
    </rPh>
    <rPh sb="3" eb="5">
      <t>ランコ</t>
    </rPh>
    <phoneticPr fontId="1"/>
  </si>
  <si>
    <t>山田　薫</t>
    <rPh sb="0" eb="2">
      <t>ヤマダ</t>
    </rPh>
    <rPh sb="3" eb="4">
      <t>カオル</t>
    </rPh>
    <phoneticPr fontId="1"/>
  </si>
  <si>
    <t>資格試験受験結果</t>
    <rPh sb="0" eb="2">
      <t>シカク</t>
    </rPh>
    <rPh sb="2" eb="4">
      <t>シケン</t>
    </rPh>
    <rPh sb="4" eb="6">
      <t>ジュケン</t>
    </rPh>
    <rPh sb="6" eb="8">
      <t>ケッカ</t>
    </rPh>
    <phoneticPr fontId="3"/>
  </si>
  <si>
    <t>生徒名簿</t>
    <rPh sb="0" eb="2">
      <t>セイト</t>
    </rPh>
    <rPh sb="2" eb="4">
      <t>メイボ</t>
    </rPh>
    <phoneticPr fontId="3"/>
  </si>
  <si>
    <t>名簿番号</t>
    <rPh sb="0" eb="2">
      <t>メイボ</t>
    </rPh>
    <rPh sb="2" eb="4">
      <t>バンゴウ</t>
    </rPh>
    <phoneticPr fontId="1"/>
  </si>
  <si>
    <t>名前</t>
    <rPh sb="0" eb="2">
      <t>ナマエ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</si>
  <si>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</si>
  <si>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</si>
  <si>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評価</t>
    <rPh sb="0" eb="2">
      <t>ヒョウカ</t>
    </rPh>
    <phoneticPr fontId="3"/>
  </si>
  <si>
    <t>合否</t>
    <rPh sb="0" eb="2">
      <t>ゴウヒ</t>
    </rPh>
    <phoneticPr fontId="3"/>
  </si>
  <si>
    <t>名前</t>
    <rPh sb="0" eb="2">
      <t>ナマエ</t>
    </rPh>
    <phoneticPr fontId="3"/>
  </si>
  <si>
    <t>a101</t>
    <phoneticPr fontId="1"/>
  </si>
  <si>
    <t>a101</t>
    <phoneticPr fontId="3"/>
  </si>
  <si>
    <t>大西 義幸</t>
  </si>
  <si>
    <t>a103</t>
    <phoneticPr fontId="1"/>
  </si>
  <si>
    <t>a102</t>
    <phoneticPr fontId="3"/>
  </si>
  <si>
    <t>塚田 和茂</t>
  </si>
  <si>
    <t>a104</t>
    <phoneticPr fontId="1"/>
  </si>
  <si>
    <t>a103</t>
    <phoneticPr fontId="3"/>
  </si>
  <si>
    <t>奥村 雅美</t>
  </si>
  <si>
    <t>a104</t>
    <phoneticPr fontId="3"/>
  </si>
  <si>
    <t>津田 良信</t>
  </si>
  <si>
    <t>合格者数</t>
    <rPh sb="0" eb="3">
      <t>ゴウカクシャ</t>
    </rPh>
    <rPh sb="3" eb="4">
      <t>スウ</t>
    </rPh>
    <phoneticPr fontId="3"/>
  </si>
  <si>
    <t>a105</t>
  </si>
  <si>
    <t>西本 友恵</t>
  </si>
  <si>
    <t>※評価はいずれも80点以上であった場合は○、そうでない場合は×</t>
    <rPh sb="1" eb="3">
      <t>ヒョウカ</t>
    </rPh>
    <rPh sb="10" eb="11">
      <t>テン</t>
    </rPh>
    <rPh sb="11" eb="13">
      <t>イジョウ</t>
    </rPh>
    <rPh sb="17" eb="19">
      <t>バアイ</t>
    </rPh>
    <rPh sb="27" eb="29">
      <t>バアイ</t>
    </rPh>
    <phoneticPr fontId="3"/>
  </si>
  <si>
    <t>※合否は１回でも80点以上であった場合は合格、そうでない場合は不合格</t>
    <rPh sb="1" eb="3">
      <t>ゴウヒ</t>
    </rPh>
    <rPh sb="5" eb="6">
      <t>カイ</t>
    </rPh>
    <rPh sb="10" eb="11">
      <t>テン</t>
    </rPh>
    <rPh sb="11" eb="13">
      <t>イジョウ</t>
    </rPh>
    <rPh sb="17" eb="19">
      <t>バアイ</t>
    </rPh>
    <rPh sb="20" eb="22">
      <t>ゴウカク</t>
    </rPh>
    <rPh sb="28" eb="30">
      <t>バアイ</t>
    </rPh>
    <rPh sb="31" eb="34">
      <t>フゴウカク</t>
    </rPh>
    <phoneticPr fontId="3"/>
  </si>
  <si>
    <t>候補１</t>
    <rPh sb="0" eb="2">
      <t>コウホ</t>
    </rPh>
    <phoneticPr fontId="3"/>
  </si>
  <si>
    <t>候補２</t>
    <rPh sb="0" eb="2">
      <t>コウホ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</si>
</sst>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8" fontId="0" fillId="0" borderId="2" xfId="1" applyFont="1" applyBorder="1">
      <alignment vertical="center"/>
    </xf>
    <xf numFmtId="38" fontId="0" fillId="0" borderId="0" xfId="1" applyFont="1" applyBorder="1">
      <alignment vertical="center"/>
    </xf>
    <xf numFmtId="38" fontId="7" fillId="0" borderId="2" xfId="1" applyFont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1" applyNumberFormat="1" applyFont="1" applyBorder="1" applyProtection="1">
      <alignment vertical="center"/>
      <protection locked="0"/>
    </xf>
    <xf numFmtId="176" fontId="0" fillId="0" borderId="2" xfId="0" applyNumberFormat="1" applyBorder="1" applyProtection="1">
      <alignment vertical="center"/>
      <protection locked="0"/>
    </xf>
    <xf numFmtId="1" fontId="0" fillId="0" borderId="2" xfId="0" applyNumberFormat="1" applyBorder="1" applyProtection="1">
      <alignment vertical="center"/>
      <protection locked="0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CF5-1631-4E73-9366-5F444C5D433B}">
  <dimension ref="A1:K16"/>
  <sheetViews>
    <sheetView zoomScaleNormal="150" zoomScaleSheetLayoutView="100" workbookViewId="0">
      <selection activeCell="F23" sqref="F23"/>
    </sheetView>
  </sheetViews>
  <sheetFormatPr defaultRowHeight="18.75" x14ac:dyDescent="0.4"/>
  <cols>
    <col min="2" max="2" width="13.125" bestFit="1" customWidth="1"/>
    <col min="8" max="9" width="9" customWidth="1"/>
  </cols>
  <sheetData>
    <row r="1" spans="1:11" x14ac:dyDescent="0.4">
      <c r="A1" s="1" t="s">
        <v>0</v>
      </c>
    </row>
    <row r="3" spans="1:1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4" t="s">
        <v>9</v>
      </c>
      <c r="J3" s="15" t="s">
        <v>130</v>
      </c>
      <c r="K3" s="15" t="s">
        <v>131</v>
      </c>
    </row>
    <row r="4" spans="1:11" x14ac:dyDescent="0.4">
      <c r="A4" s="3">
        <v>1</v>
      </c>
      <c r="B4" s="3" t="s">
        <v>10</v>
      </c>
      <c r="C4" s="3">
        <v>92</v>
      </c>
      <c r="D4" s="3">
        <v>79</v>
      </c>
      <c r="E4" s="3">
        <v>81</v>
      </c>
      <c r="F4" s="3">
        <v>95</v>
      </c>
      <c r="G4" s="3">
        <v>80</v>
      </c>
      <c r="H4" s="3">
        <v>427</v>
      </c>
      <c r="I4" s="16">
        <f>_xlfn.RANK.EQ(H4,$H$4:$H$13,0)</f>
        <v>5</v>
      </c>
      <c r="J4" s="17" t="str">
        <f>IF(H4&gt;=400,"〇","×")</f>
        <v>〇</v>
      </c>
      <c r="K4" s="17" t="str">
        <f>IF(AND(C4&gt;=85,F4&gt;=85),"決定","")</f>
        <v>決定</v>
      </c>
    </row>
    <row r="5" spans="1:11" x14ac:dyDescent="0.4">
      <c r="A5" s="3">
        <v>2</v>
      </c>
      <c r="B5" s="3" t="s">
        <v>11</v>
      </c>
      <c r="C5" s="3">
        <v>78</v>
      </c>
      <c r="D5" s="3">
        <v>85</v>
      </c>
      <c r="E5" s="3">
        <v>83</v>
      </c>
      <c r="F5" s="3">
        <v>94</v>
      </c>
      <c r="G5" s="3">
        <v>78</v>
      </c>
      <c r="H5" s="3">
        <v>418</v>
      </c>
      <c r="I5" s="16">
        <f t="shared" ref="I5:I13" si="0">_xlfn.RANK.EQ(H5,$H$4:$H$13,0)</f>
        <v>7</v>
      </c>
      <c r="J5" s="17" t="str">
        <f t="shared" ref="J5:J13" si="1">IF(H5&gt;=400,"〇","×")</f>
        <v>〇</v>
      </c>
      <c r="K5" s="17" t="str">
        <f t="shared" ref="K5:K13" si="2">IF(AND(C5&gt;=85,F5&gt;=85),"決定","")</f>
        <v/>
      </c>
    </row>
    <row r="6" spans="1:11" x14ac:dyDescent="0.4">
      <c r="A6" s="3">
        <v>3</v>
      </c>
      <c r="B6" s="3" t="s">
        <v>12</v>
      </c>
      <c r="C6" s="3">
        <v>88</v>
      </c>
      <c r="D6" s="3">
        <v>90</v>
      </c>
      <c r="E6" s="3">
        <v>86</v>
      </c>
      <c r="F6" s="3">
        <v>78</v>
      </c>
      <c r="G6" s="3">
        <v>88</v>
      </c>
      <c r="H6" s="3">
        <v>430</v>
      </c>
      <c r="I6" s="16">
        <f t="shared" si="0"/>
        <v>4</v>
      </c>
      <c r="J6" s="17" t="str">
        <f t="shared" si="1"/>
        <v>〇</v>
      </c>
      <c r="K6" s="17" t="str">
        <f t="shared" si="2"/>
        <v/>
      </c>
    </row>
    <row r="7" spans="1:11" x14ac:dyDescent="0.4">
      <c r="A7" s="3">
        <v>4</v>
      </c>
      <c r="B7" s="3" t="s">
        <v>13</v>
      </c>
      <c r="C7" s="3">
        <v>89</v>
      </c>
      <c r="D7" s="3">
        <v>90</v>
      </c>
      <c r="E7" s="3">
        <v>85</v>
      </c>
      <c r="F7" s="3">
        <v>88</v>
      </c>
      <c r="G7" s="3">
        <v>94</v>
      </c>
      <c r="H7" s="3">
        <v>446</v>
      </c>
      <c r="I7" s="16">
        <f t="shared" si="0"/>
        <v>1</v>
      </c>
      <c r="J7" s="17" t="str">
        <f t="shared" si="1"/>
        <v>〇</v>
      </c>
      <c r="K7" s="17" t="str">
        <f t="shared" si="2"/>
        <v>決定</v>
      </c>
    </row>
    <row r="8" spans="1:11" x14ac:dyDescent="0.4">
      <c r="A8" s="3">
        <v>5</v>
      </c>
      <c r="B8" s="3" t="s">
        <v>14</v>
      </c>
      <c r="C8" s="3">
        <v>69</v>
      </c>
      <c r="D8" s="3">
        <v>78</v>
      </c>
      <c r="E8" s="3">
        <v>81</v>
      </c>
      <c r="F8" s="3">
        <v>74</v>
      </c>
      <c r="G8" s="3">
        <v>79</v>
      </c>
      <c r="H8" s="3">
        <v>381</v>
      </c>
      <c r="I8" s="16">
        <f t="shared" si="0"/>
        <v>10</v>
      </c>
      <c r="J8" s="17" t="str">
        <f t="shared" si="1"/>
        <v>×</v>
      </c>
      <c r="K8" s="17" t="str">
        <f t="shared" si="2"/>
        <v/>
      </c>
    </row>
    <row r="9" spans="1:11" x14ac:dyDescent="0.4">
      <c r="A9" s="3">
        <v>6</v>
      </c>
      <c r="B9" s="3" t="s">
        <v>15</v>
      </c>
      <c r="C9" s="3">
        <v>83</v>
      </c>
      <c r="D9" s="3">
        <v>85</v>
      </c>
      <c r="E9" s="3">
        <v>80</v>
      </c>
      <c r="F9" s="3">
        <v>91</v>
      </c>
      <c r="G9" s="3">
        <v>95</v>
      </c>
      <c r="H9" s="3">
        <v>434</v>
      </c>
      <c r="I9" s="16">
        <f t="shared" si="0"/>
        <v>3</v>
      </c>
      <c r="J9" s="17" t="str">
        <f t="shared" si="1"/>
        <v>〇</v>
      </c>
      <c r="K9" s="17" t="str">
        <f t="shared" si="2"/>
        <v/>
      </c>
    </row>
    <row r="10" spans="1:11" x14ac:dyDescent="0.4">
      <c r="A10" s="3">
        <v>7</v>
      </c>
      <c r="B10" s="3" t="s">
        <v>16</v>
      </c>
      <c r="C10" s="3">
        <v>75</v>
      </c>
      <c r="D10" s="3">
        <v>68</v>
      </c>
      <c r="E10" s="3">
        <v>91</v>
      </c>
      <c r="F10" s="3">
        <v>79</v>
      </c>
      <c r="G10" s="3">
        <v>83</v>
      </c>
      <c r="H10" s="3">
        <v>396</v>
      </c>
      <c r="I10" s="16">
        <f t="shared" si="0"/>
        <v>8</v>
      </c>
      <c r="J10" s="17" t="str">
        <f t="shared" si="1"/>
        <v>×</v>
      </c>
      <c r="K10" s="17" t="str">
        <f t="shared" si="2"/>
        <v/>
      </c>
    </row>
    <row r="11" spans="1:11" x14ac:dyDescent="0.4">
      <c r="A11" s="3">
        <v>8</v>
      </c>
      <c r="B11" s="3" t="s">
        <v>17</v>
      </c>
      <c r="C11" s="3">
        <v>69</v>
      </c>
      <c r="D11" s="3">
        <v>71</v>
      </c>
      <c r="E11" s="3">
        <v>80</v>
      </c>
      <c r="F11" s="3">
        <v>82</v>
      </c>
      <c r="G11" s="3">
        <v>89</v>
      </c>
      <c r="H11" s="3">
        <v>391</v>
      </c>
      <c r="I11" s="16">
        <f t="shared" si="0"/>
        <v>9</v>
      </c>
      <c r="J11" s="17" t="str">
        <f t="shared" si="1"/>
        <v>×</v>
      </c>
      <c r="K11" s="17" t="str">
        <f t="shared" si="2"/>
        <v/>
      </c>
    </row>
    <row r="12" spans="1:11" x14ac:dyDescent="0.4">
      <c r="A12" s="3">
        <v>9</v>
      </c>
      <c r="B12" s="3" t="s">
        <v>18</v>
      </c>
      <c r="C12" s="3">
        <v>85</v>
      </c>
      <c r="D12" s="3">
        <v>85</v>
      </c>
      <c r="E12" s="3">
        <v>86</v>
      </c>
      <c r="F12" s="3">
        <v>89</v>
      </c>
      <c r="G12" s="3">
        <v>92</v>
      </c>
      <c r="H12" s="3">
        <v>437</v>
      </c>
      <c r="I12" s="16">
        <f t="shared" si="0"/>
        <v>2</v>
      </c>
      <c r="J12" s="17" t="str">
        <f t="shared" si="1"/>
        <v>〇</v>
      </c>
      <c r="K12" s="17" t="str">
        <f t="shared" si="2"/>
        <v>決定</v>
      </c>
    </row>
    <row r="13" spans="1:11" x14ac:dyDescent="0.4">
      <c r="A13" s="3">
        <v>10</v>
      </c>
      <c r="B13" s="3" t="s">
        <v>19</v>
      </c>
      <c r="C13" s="3">
        <v>73</v>
      </c>
      <c r="D13" s="3">
        <v>82</v>
      </c>
      <c r="E13" s="3">
        <v>84</v>
      </c>
      <c r="F13" s="3">
        <v>88</v>
      </c>
      <c r="G13" s="3">
        <v>93</v>
      </c>
      <c r="H13" s="3">
        <v>420</v>
      </c>
      <c r="I13" s="16">
        <f t="shared" si="0"/>
        <v>6</v>
      </c>
      <c r="J13" s="17" t="str">
        <f t="shared" si="1"/>
        <v>〇</v>
      </c>
      <c r="K13" s="17" t="str">
        <f t="shared" si="2"/>
        <v/>
      </c>
    </row>
    <row r="15" spans="1:11" x14ac:dyDescent="0.4">
      <c r="B15" s="7" t="s">
        <v>51</v>
      </c>
    </row>
    <row r="16" spans="1:11" x14ac:dyDescent="0.4">
      <c r="B16" t="s">
        <v>52</v>
      </c>
    </row>
  </sheetData>
  <sheetProtection sheet="1" objects="1" scenarios="1"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CD7C-8700-44B7-AD87-004CA8EFDA23}">
  <dimension ref="A1:H38"/>
  <sheetViews>
    <sheetView tabSelected="1" topLeftCell="A2" zoomScale="262" workbookViewId="0">
      <selection activeCell="H6" sqref="H6"/>
    </sheetView>
  </sheetViews>
  <sheetFormatPr defaultRowHeight="18.75" x14ac:dyDescent="0.4"/>
  <cols>
    <col min="1" max="1" width="13" bestFit="1" customWidth="1"/>
    <col min="2" max="2" width="5.25" style="8" bestFit="1" customWidth="1"/>
    <col min="3" max="3" width="7.125" bestFit="1" customWidth="1"/>
    <col min="4" max="4" width="13.75" customWidth="1"/>
    <col min="7" max="7" width="11" bestFit="1" customWidth="1"/>
  </cols>
  <sheetData>
    <row r="1" spans="1:8" ht="25.5" x14ac:dyDescent="0.4">
      <c r="A1" s="25" t="s">
        <v>53</v>
      </c>
      <c r="B1" s="25"/>
      <c r="C1" s="25"/>
      <c r="D1" s="25"/>
    </row>
    <row r="3" spans="1:8" x14ac:dyDescent="0.4">
      <c r="A3" s="18" t="s">
        <v>48</v>
      </c>
      <c r="B3" s="18" t="s">
        <v>54</v>
      </c>
      <c r="C3" s="18" t="s">
        <v>55</v>
      </c>
      <c r="D3" s="18" t="s">
        <v>56</v>
      </c>
      <c r="F3" s="18" t="s">
        <v>57</v>
      </c>
      <c r="G3" s="18" t="s">
        <v>58</v>
      </c>
      <c r="H3" s="18" t="s">
        <v>59</v>
      </c>
    </row>
    <row r="4" spans="1:8" x14ac:dyDescent="0.4">
      <c r="A4" s="4" t="s">
        <v>60</v>
      </c>
      <c r="B4" s="5" t="s">
        <v>61</v>
      </c>
      <c r="C4" s="4">
        <v>3</v>
      </c>
      <c r="D4" s="17" t="str">
        <f>VLOOKUP(C4,$F$4:$G$8,2,FALSE)</f>
        <v>模擬店</v>
      </c>
      <c r="F4" s="19">
        <v>1</v>
      </c>
      <c r="G4" s="20" t="s">
        <v>62</v>
      </c>
      <c r="H4" s="17">
        <f>COUNTIF($D$4:$D$38,G4)</f>
        <v>5</v>
      </c>
    </row>
    <row r="5" spans="1:8" x14ac:dyDescent="0.4">
      <c r="A5" s="4" t="s">
        <v>63</v>
      </c>
      <c r="B5" s="5" t="s">
        <v>61</v>
      </c>
      <c r="C5" s="4">
        <v>2</v>
      </c>
      <c r="D5" s="17" t="str">
        <f t="shared" ref="D5:D38" si="0">VLOOKUP(C5,$F$4:$G$8,2,FALSE)</f>
        <v>ダンス</v>
      </c>
      <c r="F5" s="19">
        <v>2</v>
      </c>
      <c r="G5" s="4" t="s">
        <v>64</v>
      </c>
      <c r="H5" s="17">
        <f t="shared" ref="H5:H8" si="1">COUNTIF($D$4:$D$38,G5)</f>
        <v>12</v>
      </c>
    </row>
    <row r="6" spans="1:8" x14ac:dyDescent="0.4">
      <c r="A6" s="4" t="s">
        <v>65</v>
      </c>
      <c r="B6" s="5" t="s">
        <v>61</v>
      </c>
      <c r="C6" s="4">
        <v>4</v>
      </c>
      <c r="D6" s="17" t="str">
        <f t="shared" si="0"/>
        <v>お化け屋敷</v>
      </c>
      <c r="F6" s="19">
        <v>3</v>
      </c>
      <c r="G6" s="4" t="s">
        <v>66</v>
      </c>
      <c r="H6" s="17">
        <f t="shared" si="1"/>
        <v>8</v>
      </c>
    </row>
    <row r="7" spans="1:8" x14ac:dyDescent="0.4">
      <c r="A7" s="4" t="s">
        <v>67</v>
      </c>
      <c r="B7" s="5" t="s">
        <v>61</v>
      </c>
      <c r="C7" s="4">
        <v>5</v>
      </c>
      <c r="D7" s="17" t="str">
        <f t="shared" si="0"/>
        <v>迷路</v>
      </c>
      <c r="F7" s="19">
        <v>4</v>
      </c>
      <c r="G7" s="4" t="s">
        <v>68</v>
      </c>
      <c r="H7" s="17">
        <f t="shared" si="1"/>
        <v>6</v>
      </c>
    </row>
    <row r="8" spans="1:8" x14ac:dyDescent="0.4">
      <c r="A8" s="4" t="s">
        <v>69</v>
      </c>
      <c r="B8" s="5" t="s">
        <v>61</v>
      </c>
      <c r="C8" s="4">
        <v>2</v>
      </c>
      <c r="D8" s="17" t="str">
        <f t="shared" si="0"/>
        <v>ダンス</v>
      </c>
      <c r="F8" s="19">
        <v>5</v>
      </c>
      <c r="G8" s="4" t="s">
        <v>70</v>
      </c>
      <c r="H8" s="17">
        <f t="shared" si="1"/>
        <v>4</v>
      </c>
    </row>
    <row r="9" spans="1:8" x14ac:dyDescent="0.4">
      <c r="A9" s="4" t="s">
        <v>71</v>
      </c>
      <c r="B9" s="5" t="s">
        <v>61</v>
      </c>
      <c r="C9" s="4">
        <v>3</v>
      </c>
      <c r="D9" s="17" t="str">
        <f t="shared" si="0"/>
        <v>模擬店</v>
      </c>
    </row>
    <row r="10" spans="1:8" x14ac:dyDescent="0.4">
      <c r="A10" s="4" t="s">
        <v>72</v>
      </c>
      <c r="B10" s="5" t="s">
        <v>61</v>
      </c>
      <c r="C10" s="4">
        <v>4</v>
      </c>
      <c r="D10" s="17" t="str">
        <f t="shared" si="0"/>
        <v>お化け屋敷</v>
      </c>
      <c r="F10" s="18" t="s">
        <v>73</v>
      </c>
      <c r="G10" s="21">
        <f>COUNT(C4:C38)</f>
        <v>35</v>
      </c>
    </row>
    <row r="11" spans="1:8" x14ac:dyDescent="0.4">
      <c r="A11" s="4" t="s">
        <v>74</v>
      </c>
      <c r="B11" s="5" t="s">
        <v>61</v>
      </c>
      <c r="C11" s="4">
        <v>1</v>
      </c>
      <c r="D11" s="17" t="str">
        <f t="shared" si="0"/>
        <v>演劇</v>
      </c>
      <c r="F11" s="18" t="s">
        <v>75</v>
      </c>
      <c r="G11" s="21">
        <f>COUNTA(B4:B21)</f>
        <v>18</v>
      </c>
    </row>
    <row r="12" spans="1:8" x14ac:dyDescent="0.4">
      <c r="A12" s="4" t="s">
        <v>76</v>
      </c>
      <c r="B12" s="5" t="s">
        <v>61</v>
      </c>
      <c r="C12" s="4">
        <v>2</v>
      </c>
      <c r="D12" s="17" t="str">
        <f t="shared" si="0"/>
        <v>ダンス</v>
      </c>
      <c r="F12" s="18" t="s">
        <v>77</v>
      </c>
      <c r="G12" s="21">
        <f>COUNTA(B22:B38)</f>
        <v>17</v>
      </c>
    </row>
    <row r="13" spans="1:8" x14ac:dyDescent="0.4">
      <c r="A13" s="4" t="s">
        <v>78</v>
      </c>
      <c r="B13" s="5" t="s">
        <v>61</v>
      </c>
      <c r="C13" s="4">
        <v>3</v>
      </c>
      <c r="D13" s="17" t="str">
        <f t="shared" si="0"/>
        <v>模擬店</v>
      </c>
    </row>
    <row r="14" spans="1:8" x14ac:dyDescent="0.4">
      <c r="A14" s="4" t="s">
        <v>79</v>
      </c>
      <c r="B14" s="5" t="s">
        <v>61</v>
      </c>
      <c r="C14" s="4">
        <v>5</v>
      </c>
      <c r="D14" s="17" t="str">
        <f t="shared" si="0"/>
        <v>迷路</v>
      </c>
    </row>
    <row r="15" spans="1:8" x14ac:dyDescent="0.4">
      <c r="A15" s="4" t="s">
        <v>80</v>
      </c>
      <c r="B15" s="5" t="s">
        <v>61</v>
      </c>
      <c r="C15" s="4">
        <v>2</v>
      </c>
      <c r="D15" s="17" t="str">
        <f t="shared" si="0"/>
        <v>ダンス</v>
      </c>
    </row>
    <row r="16" spans="1:8" x14ac:dyDescent="0.4">
      <c r="A16" s="4" t="s">
        <v>81</v>
      </c>
      <c r="B16" s="5" t="s">
        <v>61</v>
      </c>
      <c r="C16" s="4">
        <v>4</v>
      </c>
      <c r="D16" s="17" t="str">
        <f t="shared" si="0"/>
        <v>お化け屋敷</v>
      </c>
    </row>
    <row r="17" spans="1:4" x14ac:dyDescent="0.4">
      <c r="A17" s="4" t="s">
        <v>82</v>
      </c>
      <c r="B17" s="5" t="s">
        <v>61</v>
      </c>
      <c r="C17" s="4">
        <v>2</v>
      </c>
      <c r="D17" s="17" t="str">
        <f t="shared" si="0"/>
        <v>ダンス</v>
      </c>
    </row>
    <row r="18" spans="1:4" x14ac:dyDescent="0.4">
      <c r="A18" s="4" t="s">
        <v>83</v>
      </c>
      <c r="B18" s="5" t="s">
        <v>61</v>
      </c>
      <c r="C18" s="4">
        <v>3</v>
      </c>
      <c r="D18" s="17" t="str">
        <f t="shared" si="0"/>
        <v>模擬店</v>
      </c>
    </row>
    <row r="19" spans="1:4" x14ac:dyDescent="0.4">
      <c r="A19" s="4" t="s">
        <v>84</v>
      </c>
      <c r="B19" s="5" t="s">
        <v>61</v>
      </c>
      <c r="C19" s="4">
        <v>4</v>
      </c>
      <c r="D19" s="17" t="str">
        <f t="shared" si="0"/>
        <v>お化け屋敷</v>
      </c>
    </row>
    <row r="20" spans="1:4" x14ac:dyDescent="0.4">
      <c r="A20" s="4" t="s">
        <v>85</v>
      </c>
      <c r="B20" s="5" t="s">
        <v>61</v>
      </c>
      <c r="C20" s="4">
        <v>3</v>
      </c>
      <c r="D20" s="17" t="str">
        <f t="shared" si="0"/>
        <v>模擬店</v>
      </c>
    </row>
    <row r="21" spans="1:4" x14ac:dyDescent="0.4">
      <c r="A21" s="4" t="s">
        <v>86</v>
      </c>
      <c r="B21" s="5" t="s">
        <v>61</v>
      </c>
      <c r="C21" s="4">
        <v>2</v>
      </c>
      <c r="D21" s="17" t="str">
        <f t="shared" si="0"/>
        <v>ダンス</v>
      </c>
    </row>
    <row r="22" spans="1:4" x14ac:dyDescent="0.4">
      <c r="A22" s="4" t="s">
        <v>87</v>
      </c>
      <c r="B22" s="5" t="s">
        <v>88</v>
      </c>
      <c r="C22" s="4">
        <v>5</v>
      </c>
      <c r="D22" s="17" t="str">
        <f t="shared" si="0"/>
        <v>迷路</v>
      </c>
    </row>
    <row r="23" spans="1:4" x14ac:dyDescent="0.4">
      <c r="A23" s="4" t="s">
        <v>89</v>
      </c>
      <c r="B23" s="5" t="s">
        <v>88</v>
      </c>
      <c r="C23" s="4">
        <v>1</v>
      </c>
      <c r="D23" s="17" t="str">
        <f t="shared" si="0"/>
        <v>演劇</v>
      </c>
    </row>
    <row r="24" spans="1:4" x14ac:dyDescent="0.4">
      <c r="A24" s="4" t="s">
        <v>90</v>
      </c>
      <c r="B24" s="5" t="s">
        <v>88</v>
      </c>
      <c r="C24" s="4">
        <v>2</v>
      </c>
      <c r="D24" s="17" t="str">
        <f t="shared" si="0"/>
        <v>ダンス</v>
      </c>
    </row>
    <row r="25" spans="1:4" x14ac:dyDescent="0.4">
      <c r="A25" s="4" t="s">
        <v>91</v>
      </c>
      <c r="B25" s="5" t="s">
        <v>88</v>
      </c>
      <c r="C25" s="4">
        <v>4</v>
      </c>
      <c r="D25" s="17" t="str">
        <f t="shared" si="0"/>
        <v>お化け屋敷</v>
      </c>
    </row>
    <row r="26" spans="1:4" x14ac:dyDescent="0.4">
      <c r="A26" s="4" t="s">
        <v>92</v>
      </c>
      <c r="B26" s="5" t="s">
        <v>88</v>
      </c>
      <c r="C26" s="4">
        <v>1</v>
      </c>
      <c r="D26" s="17" t="str">
        <f t="shared" si="0"/>
        <v>演劇</v>
      </c>
    </row>
    <row r="27" spans="1:4" x14ac:dyDescent="0.4">
      <c r="A27" s="4" t="s">
        <v>93</v>
      </c>
      <c r="B27" s="5" t="s">
        <v>88</v>
      </c>
      <c r="C27" s="4">
        <v>1</v>
      </c>
      <c r="D27" s="17" t="str">
        <f t="shared" si="0"/>
        <v>演劇</v>
      </c>
    </row>
    <row r="28" spans="1:4" x14ac:dyDescent="0.4">
      <c r="A28" s="4" t="s">
        <v>94</v>
      </c>
      <c r="B28" s="5" t="s">
        <v>88</v>
      </c>
      <c r="C28" s="4">
        <v>2</v>
      </c>
      <c r="D28" s="17" t="str">
        <f t="shared" si="0"/>
        <v>ダンス</v>
      </c>
    </row>
    <row r="29" spans="1:4" x14ac:dyDescent="0.4">
      <c r="A29" s="4" t="s">
        <v>95</v>
      </c>
      <c r="B29" s="5" t="s">
        <v>88</v>
      </c>
      <c r="C29" s="4">
        <v>3</v>
      </c>
      <c r="D29" s="17" t="str">
        <f t="shared" si="0"/>
        <v>模擬店</v>
      </c>
    </row>
    <row r="30" spans="1:4" x14ac:dyDescent="0.4">
      <c r="A30" s="4" t="s">
        <v>96</v>
      </c>
      <c r="B30" s="5" t="s">
        <v>88</v>
      </c>
      <c r="C30" s="4">
        <v>2</v>
      </c>
      <c r="D30" s="17" t="str">
        <f t="shared" si="0"/>
        <v>ダンス</v>
      </c>
    </row>
    <row r="31" spans="1:4" x14ac:dyDescent="0.4">
      <c r="A31" s="4" t="s">
        <v>97</v>
      </c>
      <c r="B31" s="5" t="s">
        <v>88</v>
      </c>
      <c r="C31" s="4">
        <v>2</v>
      </c>
      <c r="D31" s="17" t="str">
        <f t="shared" si="0"/>
        <v>ダンス</v>
      </c>
    </row>
    <row r="32" spans="1:4" x14ac:dyDescent="0.4">
      <c r="A32" s="4" t="s">
        <v>98</v>
      </c>
      <c r="B32" s="5" t="s">
        <v>88</v>
      </c>
      <c r="C32" s="4">
        <v>4</v>
      </c>
      <c r="D32" s="17" t="str">
        <f t="shared" si="0"/>
        <v>お化け屋敷</v>
      </c>
    </row>
    <row r="33" spans="1:4" x14ac:dyDescent="0.4">
      <c r="A33" s="4" t="s">
        <v>99</v>
      </c>
      <c r="B33" s="5" t="s">
        <v>88</v>
      </c>
      <c r="C33" s="4">
        <v>2</v>
      </c>
      <c r="D33" s="17" t="str">
        <f t="shared" si="0"/>
        <v>ダンス</v>
      </c>
    </row>
    <row r="34" spans="1:4" x14ac:dyDescent="0.4">
      <c r="A34" s="4" t="s">
        <v>100</v>
      </c>
      <c r="B34" s="5" t="s">
        <v>88</v>
      </c>
      <c r="C34" s="4">
        <v>5</v>
      </c>
      <c r="D34" s="17" t="str">
        <f t="shared" si="0"/>
        <v>迷路</v>
      </c>
    </row>
    <row r="35" spans="1:4" x14ac:dyDescent="0.4">
      <c r="A35" s="4" t="s">
        <v>101</v>
      </c>
      <c r="B35" s="5" t="s">
        <v>88</v>
      </c>
      <c r="C35" s="4">
        <v>3</v>
      </c>
      <c r="D35" s="17" t="str">
        <f t="shared" si="0"/>
        <v>模擬店</v>
      </c>
    </row>
    <row r="36" spans="1:4" x14ac:dyDescent="0.4">
      <c r="A36" s="4" t="s">
        <v>102</v>
      </c>
      <c r="B36" s="5" t="s">
        <v>88</v>
      </c>
      <c r="C36" s="4">
        <v>2</v>
      </c>
      <c r="D36" s="17" t="str">
        <f t="shared" si="0"/>
        <v>ダンス</v>
      </c>
    </row>
    <row r="37" spans="1:4" x14ac:dyDescent="0.4">
      <c r="A37" s="4" t="s">
        <v>103</v>
      </c>
      <c r="B37" s="5" t="s">
        <v>88</v>
      </c>
      <c r="C37" s="4">
        <v>1</v>
      </c>
      <c r="D37" s="17" t="str">
        <f t="shared" si="0"/>
        <v>演劇</v>
      </c>
    </row>
    <row r="38" spans="1:4" x14ac:dyDescent="0.4">
      <c r="A38" s="4" t="s">
        <v>104</v>
      </c>
      <c r="B38" s="5" t="s">
        <v>88</v>
      </c>
      <c r="C38" s="4">
        <v>3</v>
      </c>
      <c r="D38" s="17" t="str">
        <f t="shared" si="0"/>
        <v>模擬店</v>
      </c>
    </row>
  </sheetData>
  <sheetProtection sheet="1" objects="1" scenarios="1"/>
  <mergeCells count="1">
    <mergeCell ref="A1:D1"/>
  </mergeCells>
  <phoneticPr fontId="3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9DE3-5E1B-4A51-96EC-979A0550AAC3}">
  <dimension ref="A1:I24"/>
  <sheetViews>
    <sheetView zoomScaleNormal="100" workbookViewId="0">
      <selection activeCell="F12" sqref="F12"/>
    </sheetView>
  </sheetViews>
  <sheetFormatPr defaultRowHeight="18.75" x14ac:dyDescent="0.4"/>
  <cols>
    <col min="1" max="1" width="5.25" bestFit="1" customWidth="1"/>
    <col min="2" max="2" width="13" bestFit="1" customWidth="1"/>
    <col min="3" max="3" width="5.25" bestFit="1" customWidth="1"/>
    <col min="8" max="9" width="6.75" customWidth="1"/>
  </cols>
  <sheetData>
    <row r="1" spans="1:9" ht="25.5" x14ac:dyDescent="0.4">
      <c r="A1" s="26" t="s">
        <v>50</v>
      </c>
      <c r="B1" s="26"/>
      <c r="C1" s="26"/>
      <c r="D1" s="26"/>
      <c r="E1" s="26"/>
      <c r="F1" s="26"/>
      <c r="G1" s="26"/>
      <c r="H1" s="26"/>
      <c r="I1" s="26"/>
    </row>
    <row r="2" spans="1:9" ht="12" customHeight="1" x14ac:dyDescent="0.4"/>
    <row r="3" spans="1:9" x14ac:dyDescent="0.4">
      <c r="A3" s="5" t="s">
        <v>49</v>
      </c>
      <c r="B3" s="5" t="s">
        <v>48</v>
      </c>
      <c r="C3" s="5" t="s">
        <v>47</v>
      </c>
      <c r="D3" s="5" t="s">
        <v>46</v>
      </c>
      <c r="E3" s="5" t="s">
        <v>45</v>
      </c>
      <c r="F3" s="5" t="s">
        <v>44</v>
      </c>
      <c r="G3" s="5" t="s">
        <v>43</v>
      </c>
      <c r="H3" s="5" t="s">
        <v>42</v>
      </c>
      <c r="I3" s="5" t="s">
        <v>41</v>
      </c>
    </row>
    <row r="4" spans="1:9" x14ac:dyDescent="0.4">
      <c r="A4" s="4">
        <v>1</v>
      </c>
      <c r="B4" s="4" t="s">
        <v>40</v>
      </c>
      <c r="C4" s="4">
        <v>3</v>
      </c>
      <c r="D4" s="6">
        <v>0.30099999999999999</v>
      </c>
      <c r="E4" s="4">
        <v>88</v>
      </c>
      <c r="F4" s="4">
        <v>27</v>
      </c>
      <c r="G4" s="6">
        <f>F4/E4</f>
        <v>0.30681818181818182</v>
      </c>
      <c r="H4" s="17" t="str">
        <f>IF(AND(G4&gt;D4,G4&gt;=0.28),"好調","")</f>
        <v>好調</v>
      </c>
      <c r="I4" s="17">
        <f>_xlfn.RANK.EQ(G4,$G$4:$G$21,0)</f>
        <v>6</v>
      </c>
    </row>
    <row r="5" spans="1:9" x14ac:dyDescent="0.4">
      <c r="A5" s="4">
        <v>2</v>
      </c>
      <c r="B5" s="4" t="s">
        <v>39</v>
      </c>
      <c r="C5" s="4">
        <v>2</v>
      </c>
      <c r="D5" s="6">
        <v>0.3</v>
      </c>
      <c r="E5" s="4">
        <v>90</v>
      </c>
      <c r="F5" s="4">
        <v>26</v>
      </c>
      <c r="G5" s="6">
        <f t="shared" ref="G5:G21" si="0">F5/E5</f>
        <v>0.28888888888888886</v>
      </c>
      <c r="H5" s="17" t="str">
        <f t="shared" ref="H5:H21" si="1">IF(AND(G5&gt;D5,G5&gt;=0.28),"好調","")</f>
        <v/>
      </c>
      <c r="I5" s="17">
        <f t="shared" ref="I5:I21" si="2">_xlfn.RANK.EQ(G5,$G$4:$G$21,0)</f>
        <v>10</v>
      </c>
    </row>
    <row r="6" spans="1:9" x14ac:dyDescent="0.4">
      <c r="A6" s="4">
        <v>3</v>
      </c>
      <c r="B6" s="4" t="s">
        <v>38</v>
      </c>
      <c r="C6" s="4">
        <v>2</v>
      </c>
      <c r="D6" s="6">
        <v>0.378</v>
      </c>
      <c r="E6" s="4">
        <v>87</v>
      </c>
      <c r="F6" s="4">
        <v>32</v>
      </c>
      <c r="G6" s="6">
        <f t="shared" si="0"/>
        <v>0.36781609195402298</v>
      </c>
      <c r="H6" s="17" t="str">
        <f t="shared" si="1"/>
        <v/>
      </c>
      <c r="I6" s="17">
        <f t="shared" si="2"/>
        <v>3</v>
      </c>
    </row>
    <row r="7" spans="1:9" x14ac:dyDescent="0.4">
      <c r="A7" s="4">
        <v>4</v>
      </c>
      <c r="B7" s="4" t="s">
        <v>37</v>
      </c>
      <c r="C7" s="4">
        <v>3</v>
      </c>
      <c r="D7" s="6">
        <v>0.35399999999999998</v>
      </c>
      <c r="E7" s="4">
        <v>92</v>
      </c>
      <c r="F7" s="4">
        <v>36</v>
      </c>
      <c r="G7" s="6">
        <f t="shared" si="0"/>
        <v>0.39130434782608697</v>
      </c>
      <c r="H7" s="17" t="str">
        <f t="shared" si="1"/>
        <v>好調</v>
      </c>
      <c r="I7" s="17">
        <f t="shared" si="2"/>
        <v>2</v>
      </c>
    </row>
    <row r="8" spans="1:9" x14ac:dyDescent="0.4">
      <c r="A8" s="4">
        <v>5</v>
      </c>
      <c r="B8" s="4" t="s">
        <v>36</v>
      </c>
      <c r="C8" s="4">
        <v>3</v>
      </c>
      <c r="D8" s="6">
        <v>0.29799999999999999</v>
      </c>
      <c r="E8" s="4">
        <v>95</v>
      </c>
      <c r="F8" s="4">
        <v>30</v>
      </c>
      <c r="G8" s="6">
        <f t="shared" si="0"/>
        <v>0.31578947368421051</v>
      </c>
      <c r="H8" s="17" t="str">
        <f t="shared" si="1"/>
        <v>好調</v>
      </c>
      <c r="I8" s="17">
        <f t="shared" si="2"/>
        <v>5</v>
      </c>
    </row>
    <row r="9" spans="1:9" x14ac:dyDescent="0.4">
      <c r="A9" s="4">
        <v>6</v>
      </c>
      <c r="B9" s="4" t="s">
        <v>35</v>
      </c>
      <c r="C9" s="4">
        <v>2</v>
      </c>
      <c r="D9" s="6">
        <v>0.29799999999999999</v>
      </c>
      <c r="E9" s="4">
        <v>85</v>
      </c>
      <c r="F9" s="4">
        <v>25</v>
      </c>
      <c r="G9" s="6">
        <f t="shared" si="0"/>
        <v>0.29411764705882354</v>
      </c>
      <c r="H9" s="17" t="str">
        <f t="shared" si="1"/>
        <v/>
      </c>
      <c r="I9" s="17">
        <f t="shared" si="2"/>
        <v>9</v>
      </c>
    </row>
    <row r="10" spans="1:9" x14ac:dyDescent="0.4">
      <c r="A10" s="4">
        <v>7</v>
      </c>
      <c r="B10" s="4" t="s">
        <v>34</v>
      </c>
      <c r="C10" s="4">
        <v>1</v>
      </c>
      <c r="D10" s="6">
        <v>0.312</v>
      </c>
      <c r="E10" s="4">
        <v>81</v>
      </c>
      <c r="F10" s="4">
        <v>26</v>
      </c>
      <c r="G10" s="6">
        <f t="shared" si="0"/>
        <v>0.32098765432098764</v>
      </c>
      <c r="H10" s="17" t="str">
        <f t="shared" si="1"/>
        <v>好調</v>
      </c>
      <c r="I10" s="17">
        <f t="shared" si="2"/>
        <v>4</v>
      </c>
    </row>
    <row r="11" spans="1:9" x14ac:dyDescent="0.4">
      <c r="A11" s="4">
        <v>8</v>
      </c>
      <c r="B11" s="4" t="s">
        <v>33</v>
      </c>
      <c r="C11" s="4">
        <v>3</v>
      </c>
      <c r="D11" s="6">
        <v>0.312</v>
      </c>
      <c r="E11" s="4">
        <v>79</v>
      </c>
      <c r="F11" s="4">
        <v>24</v>
      </c>
      <c r="G11" s="6">
        <f t="shared" si="0"/>
        <v>0.30379746835443039</v>
      </c>
      <c r="H11" s="17" t="str">
        <f t="shared" si="1"/>
        <v/>
      </c>
      <c r="I11" s="17">
        <f t="shared" si="2"/>
        <v>7</v>
      </c>
    </row>
    <row r="12" spans="1:9" x14ac:dyDescent="0.4">
      <c r="A12" s="4">
        <v>9</v>
      </c>
      <c r="B12" s="4" t="s">
        <v>32</v>
      </c>
      <c r="C12" s="4">
        <v>1</v>
      </c>
      <c r="D12" s="6">
        <v>0.38500000000000001</v>
      </c>
      <c r="E12" s="4">
        <v>80</v>
      </c>
      <c r="F12" s="4">
        <v>33</v>
      </c>
      <c r="G12" s="6">
        <f t="shared" si="0"/>
        <v>0.41249999999999998</v>
      </c>
      <c r="H12" s="17" t="str">
        <f t="shared" si="1"/>
        <v>好調</v>
      </c>
      <c r="I12" s="17">
        <f t="shared" si="2"/>
        <v>1</v>
      </c>
    </row>
    <row r="13" spans="1:9" x14ac:dyDescent="0.4">
      <c r="A13" s="4">
        <v>10</v>
      </c>
      <c r="B13" s="4" t="s">
        <v>31</v>
      </c>
      <c r="C13" s="4">
        <v>3</v>
      </c>
      <c r="D13" s="6">
        <v>0.28699999999999998</v>
      </c>
      <c r="E13" s="4">
        <v>35</v>
      </c>
      <c r="F13" s="4">
        <v>10</v>
      </c>
      <c r="G13" s="6">
        <f t="shared" si="0"/>
        <v>0.2857142857142857</v>
      </c>
      <c r="H13" s="17" t="str">
        <f t="shared" si="1"/>
        <v/>
      </c>
      <c r="I13" s="17">
        <f t="shared" si="2"/>
        <v>11</v>
      </c>
    </row>
    <row r="14" spans="1:9" x14ac:dyDescent="0.4">
      <c r="A14" s="4">
        <v>11</v>
      </c>
      <c r="B14" s="4" t="s">
        <v>30</v>
      </c>
      <c r="C14" s="4">
        <v>3</v>
      </c>
      <c r="D14" s="6">
        <v>0.26800000000000002</v>
      </c>
      <c r="E14" s="4">
        <v>30</v>
      </c>
      <c r="F14" s="4">
        <v>8</v>
      </c>
      <c r="G14" s="6">
        <f t="shared" si="0"/>
        <v>0.26666666666666666</v>
      </c>
      <c r="H14" s="17" t="str">
        <f t="shared" si="1"/>
        <v/>
      </c>
      <c r="I14" s="17">
        <f t="shared" si="2"/>
        <v>12</v>
      </c>
    </row>
    <row r="15" spans="1:9" x14ac:dyDescent="0.4">
      <c r="A15" s="4">
        <v>12</v>
      </c>
      <c r="B15" s="4" t="s">
        <v>29</v>
      </c>
      <c r="C15" s="4">
        <v>1</v>
      </c>
      <c r="D15" s="6">
        <v>0.30199999999999999</v>
      </c>
      <c r="E15" s="4">
        <v>20</v>
      </c>
      <c r="F15" s="4">
        <v>6</v>
      </c>
      <c r="G15" s="6">
        <f t="shared" si="0"/>
        <v>0.3</v>
      </c>
      <c r="H15" s="17" t="str">
        <f t="shared" si="1"/>
        <v/>
      </c>
      <c r="I15" s="17">
        <f t="shared" si="2"/>
        <v>8</v>
      </c>
    </row>
    <row r="16" spans="1:9" x14ac:dyDescent="0.4">
      <c r="A16" s="4">
        <v>13</v>
      </c>
      <c r="B16" s="4" t="s">
        <v>28</v>
      </c>
      <c r="C16" s="4">
        <v>2</v>
      </c>
      <c r="D16" s="6">
        <v>0.21199999999999999</v>
      </c>
      <c r="E16" s="4">
        <v>24</v>
      </c>
      <c r="F16" s="4">
        <v>5</v>
      </c>
      <c r="G16" s="6">
        <f t="shared" si="0"/>
        <v>0.20833333333333334</v>
      </c>
      <c r="H16" s="17" t="str">
        <f t="shared" si="1"/>
        <v/>
      </c>
      <c r="I16" s="17">
        <f t="shared" si="2"/>
        <v>18</v>
      </c>
    </row>
    <row r="17" spans="1:9" x14ac:dyDescent="0.4">
      <c r="A17" s="4">
        <v>14</v>
      </c>
      <c r="B17" s="4" t="s">
        <v>27</v>
      </c>
      <c r="C17" s="4">
        <v>1</v>
      </c>
      <c r="D17" s="6">
        <v>0.23499999999999999</v>
      </c>
      <c r="E17" s="4">
        <v>22</v>
      </c>
      <c r="F17" s="4">
        <v>5</v>
      </c>
      <c r="G17" s="6">
        <f t="shared" si="0"/>
        <v>0.22727272727272727</v>
      </c>
      <c r="H17" s="17" t="str">
        <f t="shared" si="1"/>
        <v/>
      </c>
      <c r="I17" s="17">
        <f t="shared" si="2"/>
        <v>14</v>
      </c>
    </row>
    <row r="18" spans="1:9" x14ac:dyDescent="0.4">
      <c r="A18" s="4">
        <v>15</v>
      </c>
      <c r="B18" s="4" t="s">
        <v>26</v>
      </c>
      <c r="C18" s="4">
        <v>2</v>
      </c>
      <c r="D18" s="6">
        <v>0.21199999999999999</v>
      </c>
      <c r="E18" s="4">
        <v>28</v>
      </c>
      <c r="F18" s="4">
        <v>6</v>
      </c>
      <c r="G18" s="6">
        <f t="shared" si="0"/>
        <v>0.21428571428571427</v>
      </c>
      <c r="H18" s="17" t="str">
        <f t="shared" si="1"/>
        <v/>
      </c>
      <c r="I18" s="17">
        <f t="shared" si="2"/>
        <v>16</v>
      </c>
    </row>
    <row r="19" spans="1:9" x14ac:dyDescent="0.4">
      <c r="A19" s="4">
        <v>16</v>
      </c>
      <c r="B19" s="4" t="s">
        <v>25</v>
      </c>
      <c r="C19" s="4">
        <v>3</v>
      </c>
      <c r="D19" s="6">
        <v>0.251</v>
      </c>
      <c r="E19" s="4">
        <v>32</v>
      </c>
      <c r="F19" s="4">
        <v>8</v>
      </c>
      <c r="G19" s="6">
        <f t="shared" si="0"/>
        <v>0.25</v>
      </c>
      <c r="H19" s="17" t="str">
        <f t="shared" si="1"/>
        <v/>
      </c>
      <c r="I19" s="17">
        <f t="shared" si="2"/>
        <v>13</v>
      </c>
    </row>
    <row r="20" spans="1:9" x14ac:dyDescent="0.4">
      <c r="A20" s="4">
        <v>17</v>
      </c>
      <c r="B20" s="4" t="s">
        <v>24</v>
      </c>
      <c r="C20" s="4">
        <v>2</v>
      </c>
      <c r="D20" s="6">
        <v>0.23200000000000001</v>
      </c>
      <c r="E20" s="4">
        <v>18</v>
      </c>
      <c r="F20" s="4">
        <v>4</v>
      </c>
      <c r="G20" s="6">
        <f t="shared" si="0"/>
        <v>0.22222222222222221</v>
      </c>
      <c r="H20" s="17" t="str">
        <f t="shared" si="1"/>
        <v/>
      </c>
      <c r="I20" s="17">
        <f t="shared" si="2"/>
        <v>15</v>
      </c>
    </row>
    <row r="21" spans="1:9" x14ac:dyDescent="0.4">
      <c r="A21" s="4">
        <v>18</v>
      </c>
      <c r="B21" s="4" t="s">
        <v>23</v>
      </c>
      <c r="C21" s="4">
        <v>2</v>
      </c>
      <c r="D21" s="6">
        <v>0.19800000000000001</v>
      </c>
      <c r="E21" s="4">
        <v>19</v>
      </c>
      <c r="F21" s="4">
        <v>4</v>
      </c>
      <c r="G21" s="6">
        <f t="shared" si="0"/>
        <v>0.21052631578947367</v>
      </c>
      <c r="H21" s="17" t="str">
        <f t="shared" si="1"/>
        <v/>
      </c>
      <c r="I21" s="17">
        <f t="shared" si="2"/>
        <v>17</v>
      </c>
    </row>
    <row r="22" spans="1:9" x14ac:dyDescent="0.4">
      <c r="C22" s="5" t="s">
        <v>22</v>
      </c>
      <c r="D22" s="23">
        <f>AVERAGE(D4:D21)</f>
        <v>0.2852777777777778</v>
      </c>
      <c r="E22" s="24">
        <f t="shared" ref="E22:G22" si="3">AVERAGE(E4:E21)</f>
        <v>55.833333333333336</v>
      </c>
      <c r="F22" s="24">
        <f t="shared" si="3"/>
        <v>17.5</v>
      </c>
      <c r="G22" s="23">
        <f t="shared" si="3"/>
        <v>0.28816894551055866</v>
      </c>
    </row>
    <row r="23" spans="1:9" x14ac:dyDescent="0.4">
      <c r="C23" s="5" t="s">
        <v>21</v>
      </c>
      <c r="D23" s="23">
        <f>MAX(D4:D21)</f>
        <v>0.38500000000000001</v>
      </c>
      <c r="E23" s="24">
        <f t="shared" ref="E23:G23" si="4">MAX(E4:E21)</f>
        <v>95</v>
      </c>
      <c r="F23" s="24">
        <f t="shared" si="4"/>
        <v>36</v>
      </c>
      <c r="G23" s="23">
        <f t="shared" si="4"/>
        <v>0.41249999999999998</v>
      </c>
    </row>
    <row r="24" spans="1:9" x14ac:dyDescent="0.4">
      <c r="C24" s="5" t="s">
        <v>20</v>
      </c>
      <c r="D24" s="23">
        <f>MIN(D4:D21)</f>
        <v>0.19800000000000001</v>
      </c>
      <c r="E24" s="24">
        <f t="shared" ref="E24:G24" si="5">MIN(E4:E21)</f>
        <v>18</v>
      </c>
      <c r="F24" s="24">
        <f t="shared" si="5"/>
        <v>4</v>
      </c>
      <c r="G24" s="23">
        <f t="shared" si="5"/>
        <v>0.20833333333333334</v>
      </c>
    </row>
  </sheetData>
  <sheetProtection sheet="1" objects="1" scenarios="1" formatCells="0"/>
  <mergeCells count="1">
    <mergeCell ref="A1:I1"/>
  </mergeCells>
  <phoneticPr fontId="3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30B0-2A3A-4D74-8C75-0D938DF4C125}">
  <sheetPr>
    <tabColor theme="1"/>
  </sheetPr>
  <dimension ref="A1:I11"/>
  <sheetViews>
    <sheetView workbookViewId="0">
      <selection activeCell="A3" sqref="A3"/>
    </sheetView>
  </sheetViews>
  <sheetFormatPr defaultRowHeight="18.75" x14ac:dyDescent="0.4"/>
  <cols>
    <col min="2" max="2" width="14.375" customWidth="1"/>
    <col min="9" max="9" width="14.375" customWidth="1"/>
  </cols>
  <sheetData>
    <row r="1" spans="1:9" x14ac:dyDescent="0.4">
      <c r="A1" t="s">
        <v>105</v>
      </c>
      <c r="B1" s="8"/>
      <c r="C1" s="8"/>
      <c r="D1" s="8"/>
      <c r="E1" s="8"/>
      <c r="F1" s="8"/>
      <c r="H1" t="s">
        <v>106</v>
      </c>
    </row>
    <row r="2" spans="1:9" x14ac:dyDescent="0.4">
      <c r="A2" s="9" t="s">
        <v>107</v>
      </c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H2" s="9" t="s">
        <v>107</v>
      </c>
      <c r="I2" s="9" t="s">
        <v>113</v>
      </c>
    </row>
    <row r="3" spans="1:9" x14ac:dyDescent="0.4">
      <c r="A3" s="10" t="s">
        <v>114</v>
      </c>
      <c r="B3" s="22" t="str">
        <f>VLOOKUP(A3,$H$3:$I$7,2,FALSE)</f>
        <v>大西 義幸</v>
      </c>
      <c r="C3" s="11">
        <v>78</v>
      </c>
      <c r="D3" s="11">
        <v>97</v>
      </c>
      <c r="E3" s="22" t="str">
        <f>IF(AND(C3&gt;=80,D3&gt;=80),"○","×")</f>
        <v>×</v>
      </c>
      <c r="F3" s="22" t="str">
        <f>IF(OR(C3&gt;=80,D3&gt;=80),"合格","不合格")</f>
        <v>合格</v>
      </c>
      <c r="H3" s="4" t="s">
        <v>115</v>
      </c>
      <c r="I3" s="4" t="s">
        <v>116</v>
      </c>
    </row>
    <row r="4" spans="1:9" x14ac:dyDescent="0.4">
      <c r="A4" s="10" t="s">
        <v>117</v>
      </c>
      <c r="B4" s="22" t="str">
        <f t="shared" ref="B4:B5" si="0">VLOOKUP(A4,$H$3:$I$7,2,FALSE)</f>
        <v>奥村 雅美</v>
      </c>
      <c r="C4" s="11">
        <v>84</v>
      </c>
      <c r="D4" s="11">
        <v>91</v>
      </c>
      <c r="E4" s="22" t="str">
        <f t="shared" ref="E4:E5" si="1">IF(AND(C4&gt;=80,D4&gt;=80),"○","×")</f>
        <v>○</v>
      </c>
      <c r="F4" s="17" t="str">
        <f t="shared" ref="F4:F5" si="2">IF(OR(C4&gt;=80,D4&gt;=80),"合格","不合格")</f>
        <v>合格</v>
      </c>
      <c r="H4" s="4" t="s">
        <v>118</v>
      </c>
      <c r="I4" s="4" t="s">
        <v>119</v>
      </c>
    </row>
    <row r="5" spans="1:9" x14ac:dyDescent="0.4">
      <c r="A5" s="10" t="s">
        <v>120</v>
      </c>
      <c r="B5" s="22" t="str">
        <f t="shared" si="0"/>
        <v>津田 良信</v>
      </c>
      <c r="C5" s="11">
        <v>73</v>
      </c>
      <c r="D5" s="11">
        <v>56</v>
      </c>
      <c r="E5" s="22" t="str">
        <f t="shared" si="1"/>
        <v>×</v>
      </c>
      <c r="F5" s="17" t="str">
        <f t="shared" si="2"/>
        <v>不合格</v>
      </c>
      <c r="H5" s="4" t="s">
        <v>121</v>
      </c>
      <c r="I5" s="4" t="s">
        <v>122</v>
      </c>
    </row>
    <row r="6" spans="1:9" x14ac:dyDescent="0.4">
      <c r="A6" s="8"/>
      <c r="B6" s="12"/>
      <c r="C6" s="12"/>
      <c r="D6" s="12"/>
      <c r="E6" s="12"/>
      <c r="H6" s="4" t="s">
        <v>123</v>
      </c>
      <c r="I6" s="4" t="s">
        <v>124</v>
      </c>
    </row>
    <row r="7" spans="1:9" x14ac:dyDescent="0.4">
      <c r="A7" s="8"/>
      <c r="B7" s="12"/>
      <c r="C7" s="12"/>
      <c r="D7" s="12"/>
      <c r="E7" s="13" t="s">
        <v>125</v>
      </c>
      <c r="F7" s="22">
        <f>COUNTIF(F3:F5,"合格")</f>
        <v>2</v>
      </c>
      <c r="H7" s="4" t="s">
        <v>126</v>
      </c>
      <c r="I7" s="4" t="s">
        <v>127</v>
      </c>
    </row>
    <row r="10" spans="1:9" x14ac:dyDescent="0.4">
      <c r="B10" t="s">
        <v>128</v>
      </c>
    </row>
    <row r="11" spans="1:9" x14ac:dyDescent="0.4">
      <c r="B11" t="s">
        <v>129</v>
      </c>
    </row>
  </sheetData>
  <sheetProtection sheet="1" objects="1" scenarios="1"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試食会</vt:lpstr>
      <vt:lpstr>希望調査</vt:lpstr>
      <vt:lpstr>打率表</vt:lpstr>
      <vt:lpstr>過去問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　潤</dc:creator>
  <cp:lastModifiedBy>鈴木　潤</cp:lastModifiedBy>
  <dcterms:created xsi:type="dcterms:W3CDTF">2022-10-02T05:41:09Z</dcterms:created>
  <dcterms:modified xsi:type="dcterms:W3CDTF">2024-10-09T04:51:56Z</dcterms:modified>
</cp:coreProperties>
</file>